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albany-my.sharepoint.com/personal/gchen3_albany_edu/Documents/R-projects/Florida-FRS-main_generalizable/refactor/source_data/"/>
    </mc:Choice>
  </mc:AlternateContent>
  <xr:revisionPtr revIDLastSave="137" documentId="8_{05EC5C6E-CE3D-488A-9FBB-8D386F3FD8B1}" xr6:coauthVersionLast="47" xr6:coauthVersionMax="47" xr10:uidLastSave="{98E543B5-2613-4CD0-B3BB-75A68769BFF4}"/>
  <bookViews>
    <workbookView xWindow="28680" yWindow="-120" windowWidth="29040" windowHeight="15720" activeTab="2" xr2:uid="{B4ECBAB5-CEB2-4D8D-BCAD-5D40DFE489BD}"/>
  </bookViews>
  <sheets>
    <sheet name="db_dc_legacy" sheetId="1" r:id="rId1"/>
    <sheet name="db_dc_new" sheetId="2" r:id="rId2"/>
    <sheet name="current_year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3" l="1"/>
  <c r="G5" i="3"/>
  <c r="C7" i="3"/>
  <c r="C2" i="3"/>
  <c r="F8" i="3"/>
  <c r="F7" i="3"/>
  <c r="F6" i="3"/>
  <c r="F5" i="3"/>
  <c r="F4" i="3"/>
  <c r="F3" i="3"/>
  <c r="F2" i="3"/>
  <c r="C3" i="3"/>
  <c r="C4" i="3"/>
  <c r="C5" i="3"/>
  <c r="C6" i="3"/>
  <c r="C8" i="3"/>
  <c r="B15" i="2"/>
  <c r="B14" i="2"/>
  <c r="B13" i="2"/>
  <c r="B12" i="2"/>
  <c r="B11" i="2"/>
  <c r="B10" i="2"/>
  <c r="B9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2" i="1"/>
  <c r="B47" i="4" l="1"/>
  <c r="B65" i="4"/>
  <c r="B52" i="4"/>
  <c r="B5" i="4"/>
  <c r="B72" i="4"/>
  <c r="B69" i="4"/>
  <c r="B49" i="4"/>
  <c r="B15" i="4"/>
  <c r="B76" i="4"/>
  <c r="B10" i="4"/>
  <c r="B32" i="4"/>
  <c r="B50" i="4"/>
  <c r="B3" i="4"/>
  <c r="B74" i="4"/>
  <c r="B71" i="4"/>
  <c r="B63" i="4"/>
  <c r="B45" i="4"/>
  <c r="B26" i="4"/>
  <c r="B33" i="4"/>
  <c r="B6" i="4"/>
  <c r="B70" i="4"/>
  <c r="B64" i="4"/>
  <c r="B31" i="4"/>
  <c r="B55" i="4"/>
  <c r="B29" i="4"/>
  <c r="B44" i="4"/>
  <c r="B24" i="4"/>
  <c r="B51" i="4"/>
  <c r="B67" i="4"/>
  <c r="B62" i="4"/>
  <c r="B54" i="4"/>
  <c r="B25" i="4"/>
  <c r="B60" i="4"/>
  <c r="B59" i="4"/>
  <c r="B11" i="4"/>
  <c r="B23" i="4"/>
  <c r="B53" i="4"/>
  <c r="B7" i="4"/>
  <c r="B12" i="4"/>
  <c r="B30" i="4"/>
  <c r="B48" i="4"/>
  <c r="B22" i="4"/>
  <c r="B66" i="4"/>
  <c r="B16" i="4"/>
  <c r="B27" i="4"/>
  <c r="B17" i="4"/>
  <c r="B8" i="4"/>
  <c r="B35" i="4"/>
  <c r="B4" i="4"/>
  <c r="B58" i="4"/>
  <c r="B37" i="4"/>
  <c r="B46" i="4"/>
  <c r="B56" i="4"/>
  <c r="B41" i="4"/>
  <c r="B14" i="4"/>
  <c r="B38" i="4"/>
  <c r="B73" i="4"/>
  <c r="B21" i="4"/>
  <c r="B61" i="4"/>
  <c r="B18" i="4"/>
  <c r="B75" i="4"/>
  <c r="B68" i="4"/>
  <c r="B42" i="4"/>
  <c r="B77" i="4"/>
  <c r="B43" i="4"/>
  <c r="B9" i="4"/>
  <c r="B39" i="4"/>
  <c r="B28" i="4"/>
  <c r="B19" i="4"/>
  <c r="B57" i="4"/>
  <c r="B13" i="4"/>
  <c r="B34" i="4"/>
  <c r="B40" i="4"/>
  <c r="B20" i="4"/>
  <c r="B2" i="4"/>
  <c r="B36" i="4"/>
  <c r="C28" i="4"/>
  <c r="C34" i="4"/>
  <c r="C41" i="4"/>
  <c r="C37" i="4"/>
  <c r="C57" i="4"/>
  <c r="C4" i="4"/>
  <c r="C53" i="4"/>
  <c r="C11" i="4"/>
  <c r="C6" i="4"/>
  <c r="C20" i="4"/>
  <c r="C76" i="4"/>
  <c r="C33" i="4"/>
  <c r="C22" i="4"/>
  <c r="C48" i="4"/>
  <c r="C45" i="4"/>
  <c r="C23" i="4"/>
  <c r="C46" i="4"/>
  <c r="C3" i="4"/>
  <c r="C15" i="4"/>
  <c r="C68" i="4"/>
  <c r="C25" i="4"/>
  <c r="C64" i="4"/>
  <c r="C32" i="4"/>
  <c r="C75" i="4"/>
  <c r="C5" i="4"/>
  <c r="C47" i="4"/>
  <c r="C43" i="4"/>
  <c r="C55" i="4"/>
  <c r="C13" i="4"/>
  <c r="C7" i="4"/>
  <c r="C39" i="4"/>
  <c r="C51" i="4"/>
  <c r="C73" i="4"/>
  <c r="C61" i="4"/>
  <c r="C24" i="4"/>
  <c r="C29" i="4"/>
  <c r="C30" i="4"/>
  <c r="C50" i="4"/>
  <c r="C44" i="4"/>
  <c r="C40" i="4"/>
  <c r="C77" i="4"/>
  <c r="C60" i="4"/>
  <c r="C12" i="4"/>
  <c r="C10" i="4"/>
  <c r="C21" i="4"/>
  <c r="C35" i="4"/>
  <c r="C49" i="4"/>
  <c r="C54" i="4"/>
  <c r="C26" i="4"/>
  <c r="C9" i="4"/>
  <c r="C67" i="4"/>
  <c r="C69" i="4"/>
  <c r="C74" i="4"/>
  <c r="C63" i="4"/>
  <c r="C8" i="4"/>
  <c r="C17" i="4"/>
  <c r="C58" i="4"/>
  <c r="C62" i="4"/>
  <c r="C19" i="4"/>
  <c r="C27" i="4"/>
  <c r="C52" i="4"/>
  <c r="C66" i="4"/>
  <c r="C56" i="4"/>
  <c r="C71" i="4"/>
  <c r="C38" i="4"/>
  <c r="C65" i="4"/>
  <c r="C42" i="4"/>
  <c r="C36" i="4"/>
  <c r="C70" i="4"/>
  <c r="C72" i="4"/>
  <c r="C59" i="4"/>
  <c r="C18" i="4"/>
  <c r="C16" i="4"/>
  <c r="C14" i="4"/>
  <c r="C2" i="4"/>
  <c r="C31" i="4"/>
</calcChain>
</file>

<file path=xl/sharedStrings.xml><?xml version="1.0" encoding="utf-8"?>
<sst xmlns="http://schemas.openxmlformats.org/spreadsheetml/2006/main" count="61" uniqueCount="24">
  <si>
    <t>db_legacy</t>
  </si>
  <si>
    <t>dc_legacy</t>
  </si>
  <si>
    <t>special</t>
  </si>
  <si>
    <t>regular</t>
  </si>
  <si>
    <t>admin</t>
  </si>
  <si>
    <t>eso</t>
  </si>
  <si>
    <t>eco</t>
  </si>
  <si>
    <t>judges</t>
  </si>
  <si>
    <t>senior_management</t>
  </si>
  <si>
    <t>year_ul</t>
  </si>
  <si>
    <t>year_ll</t>
  </si>
  <si>
    <t>class</t>
  </si>
  <si>
    <t>db_new</t>
  </si>
  <si>
    <t>dc_new</t>
  </si>
  <si>
    <t>new_year_ll</t>
  </si>
  <si>
    <t>new_year_ul</t>
  </si>
  <si>
    <t>cash_outflow</t>
  </si>
  <si>
    <t>ben_payment_current</t>
  </si>
  <si>
    <t>retiree_pop_current</t>
  </si>
  <si>
    <t>val_norm_cost</t>
  </si>
  <si>
    <t>nc_cal</t>
  </si>
  <si>
    <t>pvfb_term_current</t>
  </si>
  <si>
    <t>n_retire_ratio</t>
  </si>
  <si>
    <t>total_ben_ratio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</si>
</sst>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5BE4-74D5-4412-800E-DBA2FC6B8E4D}">
  <dimension ref="A1:E22"/>
  <sheetViews>
    <sheetView workbookViewId="0">
      <selection activeCell="A2" sqref="A2:A8"/>
    </sheetView>
  </sheetViews>
  <sheetFormatPr defaultRowHeight="15" x14ac:dyDescent="0.25"/>
  <cols>
    <col min="1" max="1" width="19.28515625" bestFit="1" customWidth="1"/>
    <col min="2" max="2" width="9.7109375" bestFit="1" customWidth="1"/>
    <col min="3" max="3" width="9.5703125" bestFit="1" customWidth="1"/>
  </cols>
  <sheetData>
    <row r="1" spans="1:5" x14ac:dyDescent="0.25">
      <c r="A1" t="s">
        <v>11</v>
      </c>
      <c r="B1" t="s">
        <v>1</v>
      </c>
      <c r="C1" t="s">
        <v>0</v>
      </c>
      <c r="D1" t="s">
        <v>10</v>
      </c>
      <c r="E1" t="s">
        <v>9</v>
      </c>
    </row>
    <row r="2" spans="1:5" x14ac:dyDescent="0.25">
      <c r="A2" t="s">
        <v>3</v>
      </c>
      <c r="B2">
        <f>1-C2</f>
        <v>0.25</v>
      </c>
      <c r="C2">
        <v>0.75</v>
      </c>
      <c r="D2">
        <v>0</v>
      </c>
      <c r="E2">
        <v>2018</v>
      </c>
    </row>
    <row r="3" spans="1:5" x14ac:dyDescent="0.25">
      <c r="A3" t="s">
        <v>2</v>
      </c>
      <c r="B3">
        <f t="shared" ref="B3:B15" si="0">1-C3</f>
        <v>5.0000000000000044E-2</v>
      </c>
      <c r="C3">
        <v>0.95</v>
      </c>
      <c r="D3">
        <v>0</v>
      </c>
      <c r="E3">
        <v>2018</v>
      </c>
    </row>
    <row r="4" spans="1:5" x14ac:dyDescent="0.25">
      <c r="A4" t="s">
        <v>4</v>
      </c>
      <c r="B4">
        <f t="shared" si="0"/>
        <v>0.25</v>
      </c>
      <c r="C4">
        <v>0.75</v>
      </c>
      <c r="D4">
        <v>0</v>
      </c>
      <c r="E4">
        <v>2018</v>
      </c>
    </row>
    <row r="5" spans="1:5" x14ac:dyDescent="0.25">
      <c r="A5" t="s">
        <v>5</v>
      </c>
      <c r="B5">
        <f t="shared" si="0"/>
        <v>0.25</v>
      </c>
      <c r="C5">
        <v>0.75</v>
      </c>
      <c r="D5">
        <v>0</v>
      </c>
      <c r="E5">
        <v>2018</v>
      </c>
    </row>
    <row r="6" spans="1:5" x14ac:dyDescent="0.25">
      <c r="A6" t="s">
        <v>6</v>
      </c>
      <c r="B6">
        <f t="shared" si="0"/>
        <v>0.25</v>
      </c>
      <c r="C6">
        <v>0.75</v>
      </c>
      <c r="D6">
        <v>0</v>
      </c>
      <c r="E6">
        <v>2018</v>
      </c>
    </row>
    <row r="7" spans="1:5" x14ac:dyDescent="0.25">
      <c r="A7" t="s">
        <v>7</v>
      </c>
      <c r="B7">
        <f t="shared" si="0"/>
        <v>0.25</v>
      </c>
      <c r="C7">
        <v>0.75</v>
      </c>
      <c r="D7">
        <v>0</v>
      </c>
      <c r="E7">
        <v>2018</v>
      </c>
    </row>
    <row r="8" spans="1:5" x14ac:dyDescent="0.25">
      <c r="A8" t="s">
        <v>8</v>
      </c>
      <c r="B8">
        <f t="shared" si="0"/>
        <v>0.25</v>
      </c>
      <c r="C8">
        <v>0.75</v>
      </c>
      <c r="D8">
        <v>0</v>
      </c>
      <c r="E8">
        <v>2018</v>
      </c>
    </row>
    <row r="9" spans="1:5" x14ac:dyDescent="0.25">
      <c r="A9" t="s">
        <v>3</v>
      </c>
      <c r="B9">
        <f t="shared" si="0"/>
        <v>0.75</v>
      </c>
      <c r="C9">
        <v>0.25</v>
      </c>
      <c r="D9">
        <v>2018</v>
      </c>
      <c r="E9">
        <v>2024</v>
      </c>
    </row>
    <row r="10" spans="1:5" x14ac:dyDescent="0.25">
      <c r="A10" t="s">
        <v>2</v>
      </c>
      <c r="B10">
        <f t="shared" si="0"/>
        <v>0.15000000000000002</v>
      </c>
      <c r="C10">
        <v>0.85</v>
      </c>
      <c r="D10">
        <v>2018</v>
      </c>
      <c r="E10">
        <v>2024</v>
      </c>
    </row>
    <row r="11" spans="1:5" x14ac:dyDescent="0.25">
      <c r="A11" t="s">
        <v>4</v>
      </c>
      <c r="B11">
        <f t="shared" si="0"/>
        <v>0.75</v>
      </c>
      <c r="C11">
        <v>0.25</v>
      </c>
      <c r="D11">
        <v>2018</v>
      </c>
      <c r="E11">
        <v>2024</v>
      </c>
    </row>
    <row r="12" spans="1:5" x14ac:dyDescent="0.25">
      <c r="A12" t="s">
        <v>5</v>
      </c>
      <c r="B12">
        <f t="shared" si="0"/>
        <v>0.75</v>
      </c>
      <c r="C12">
        <v>0.25</v>
      </c>
      <c r="D12">
        <v>2018</v>
      </c>
      <c r="E12">
        <v>2024</v>
      </c>
    </row>
    <row r="13" spans="1:5" x14ac:dyDescent="0.25">
      <c r="A13" t="s">
        <v>6</v>
      </c>
      <c r="B13">
        <f t="shared" si="0"/>
        <v>0.75</v>
      </c>
      <c r="C13">
        <v>0.25</v>
      </c>
      <c r="D13">
        <v>2018</v>
      </c>
      <c r="E13">
        <v>2024</v>
      </c>
    </row>
    <row r="14" spans="1:5" x14ac:dyDescent="0.25">
      <c r="A14" t="s">
        <v>7</v>
      </c>
      <c r="B14">
        <f t="shared" si="0"/>
        <v>0.75</v>
      </c>
      <c r="C14">
        <v>0.25</v>
      </c>
      <c r="D14">
        <v>2018</v>
      </c>
      <c r="E14">
        <v>2024</v>
      </c>
    </row>
    <row r="15" spans="1:5" x14ac:dyDescent="0.25">
      <c r="A15" t="s">
        <v>8</v>
      </c>
      <c r="B15">
        <f t="shared" si="0"/>
        <v>0.75</v>
      </c>
      <c r="C15">
        <v>0.25</v>
      </c>
      <c r="D15">
        <v>2018</v>
      </c>
      <c r="E15">
        <v>2024</v>
      </c>
    </row>
    <row r="16" spans="1:5" x14ac:dyDescent="0.25">
      <c r="A16" t="s">
        <v>3</v>
      </c>
      <c r="B16">
        <v>0</v>
      </c>
      <c r="C16">
        <v>0</v>
      </c>
      <c r="D16">
        <v>2024</v>
      </c>
      <c r="E16">
        <v>9999</v>
      </c>
    </row>
    <row r="17" spans="1:5" x14ac:dyDescent="0.25">
      <c r="A17" t="s">
        <v>2</v>
      </c>
      <c r="B17">
        <v>0</v>
      </c>
      <c r="C17">
        <v>0</v>
      </c>
      <c r="D17">
        <v>2024</v>
      </c>
      <c r="E17">
        <v>9999</v>
      </c>
    </row>
    <row r="18" spans="1:5" x14ac:dyDescent="0.25">
      <c r="A18" t="s">
        <v>4</v>
      </c>
      <c r="B18">
        <v>0</v>
      </c>
      <c r="C18">
        <v>0</v>
      </c>
      <c r="D18">
        <v>2024</v>
      </c>
      <c r="E18">
        <v>9999</v>
      </c>
    </row>
    <row r="19" spans="1:5" x14ac:dyDescent="0.25">
      <c r="A19" t="s">
        <v>5</v>
      </c>
      <c r="B19">
        <v>0</v>
      </c>
      <c r="C19">
        <v>0</v>
      </c>
      <c r="D19">
        <v>2024</v>
      </c>
      <c r="E19">
        <v>9999</v>
      </c>
    </row>
    <row r="20" spans="1:5" x14ac:dyDescent="0.25">
      <c r="A20" t="s">
        <v>6</v>
      </c>
      <c r="B20">
        <v>0</v>
      </c>
      <c r="C20">
        <v>0</v>
      </c>
      <c r="D20">
        <v>2024</v>
      </c>
      <c r="E20">
        <v>9999</v>
      </c>
    </row>
    <row r="21" spans="1:5" x14ac:dyDescent="0.25">
      <c r="A21" t="s">
        <v>7</v>
      </c>
      <c r="B21">
        <v>0</v>
      </c>
      <c r="C21">
        <v>0</v>
      </c>
      <c r="D21">
        <v>2024</v>
      </c>
      <c r="E21">
        <v>9999</v>
      </c>
    </row>
    <row r="22" spans="1:5" x14ac:dyDescent="0.25">
      <c r="A22" t="s">
        <v>8</v>
      </c>
      <c r="B22">
        <v>0</v>
      </c>
      <c r="C22">
        <v>0</v>
      </c>
      <c r="D22">
        <v>2024</v>
      </c>
      <c r="E22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47012-63F2-440E-8030-EE2BFF63575D}">
  <dimension ref="A1:E15"/>
  <sheetViews>
    <sheetView workbookViewId="0">
      <selection activeCell="C9" sqref="C9"/>
    </sheetView>
  </sheetViews>
  <sheetFormatPr defaultRowHeight="15" x14ac:dyDescent="0.25"/>
  <sheetData>
    <row r="1" spans="1:5" x14ac:dyDescent="0.25">
      <c r="A1" t="s">
        <v>11</v>
      </c>
      <c r="B1" t="s">
        <v>13</v>
      </c>
      <c r="C1" t="s">
        <v>12</v>
      </c>
      <c r="D1" t="s">
        <v>14</v>
      </c>
      <c r="E1" t="s">
        <v>15</v>
      </c>
    </row>
    <row r="2" spans="1:5" x14ac:dyDescent="0.25">
      <c r="A2" t="s">
        <v>3</v>
      </c>
      <c r="B2">
        <v>0</v>
      </c>
      <c r="C2">
        <v>0</v>
      </c>
      <c r="D2">
        <v>0</v>
      </c>
      <c r="E2">
        <v>2024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2024</v>
      </c>
    </row>
    <row r="4" spans="1:5" x14ac:dyDescent="0.25">
      <c r="A4" t="s">
        <v>4</v>
      </c>
      <c r="B4">
        <v>0</v>
      </c>
      <c r="C4">
        <v>0</v>
      </c>
      <c r="D4">
        <v>0</v>
      </c>
      <c r="E4">
        <v>2024</v>
      </c>
    </row>
    <row r="5" spans="1:5" x14ac:dyDescent="0.25">
      <c r="A5" t="s">
        <v>5</v>
      </c>
      <c r="B5">
        <v>0</v>
      </c>
      <c r="C5">
        <v>0</v>
      </c>
      <c r="D5">
        <v>0</v>
      </c>
      <c r="E5">
        <v>2024</v>
      </c>
    </row>
    <row r="6" spans="1:5" x14ac:dyDescent="0.25">
      <c r="A6" t="s">
        <v>6</v>
      </c>
      <c r="B6">
        <v>0</v>
      </c>
      <c r="C6">
        <v>0</v>
      </c>
      <c r="D6">
        <v>0</v>
      </c>
      <c r="E6">
        <v>2024</v>
      </c>
    </row>
    <row r="7" spans="1:5" x14ac:dyDescent="0.25">
      <c r="A7" t="s">
        <v>7</v>
      </c>
      <c r="B7">
        <v>0</v>
      </c>
      <c r="C7">
        <v>0</v>
      </c>
      <c r="D7">
        <v>0</v>
      </c>
      <c r="E7">
        <v>2024</v>
      </c>
    </row>
    <row r="8" spans="1:5" x14ac:dyDescent="0.25">
      <c r="A8" t="s">
        <v>8</v>
      </c>
      <c r="B8">
        <v>0</v>
      </c>
      <c r="C8">
        <v>0</v>
      </c>
      <c r="D8">
        <v>0</v>
      </c>
      <c r="E8">
        <v>2024</v>
      </c>
    </row>
    <row r="9" spans="1:5" x14ac:dyDescent="0.25">
      <c r="A9" t="s">
        <v>3</v>
      </c>
      <c r="B9">
        <f>1-C9</f>
        <v>0.75</v>
      </c>
      <c r="C9">
        <v>0.25</v>
      </c>
      <c r="D9">
        <v>2024</v>
      </c>
      <c r="E9">
        <v>9999</v>
      </c>
    </row>
    <row r="10" spans="1:5" x14ac:dyDescent="0.25">
      <c r="A10" t="s">
        <v>2</v>
      </c>
      <c r="B10">
        <f t="shared" ref="B10:B15" si="0">1-C10</f>
        <v>0.25</v>
      </c>
      <c r="C10">
        <v>0.75</v>
      </c>
      <c r="D10">
        <v>2024</v>
      </c>
      <c r="E10">
        <v>9999</v>
      </c>
    </row>
    <row r="11" spans="1:5" x14ac:dyDescent="0.25">
      <c r="A11" t="s">
        <v>4</v>
      </c>
      <c r="B11">
        <f t="shared" si="0"/>
        <v>0.75</v>
      </c>
      <c r="C11">
        <v>0.25</v>
      </c>
      <c r="D11">
        <v>2024</v>
      </c>
      <c r="E11">
        <v>9999</v>
      </c>
    </row>
    <row r="12" spans="1:5" x14ac:dyDescent="0.25">
      <c r="A12" t="s">
        <v>5</v>
      </c>
      <c r="B12">
        <f t="shared" si="0"/>
        <v>0.75</v>
      </c>
      <c r="C12">
        <v>0.25</v>
      </c>
      <c r="D12">
        <v>2024</v>
      </c>
      <c r="E12">
        <v>9999</v>
      </c>
    </row>
    <row r="13" spans="1:5" x14ac:dyDescent="0.25">
      <c r="A13" t="s">
        <v>6</v>
      </c>
      <c r="B13">
        <f t="shared" si="0"/>
        <v>0.75</v>
      </c>
      <c r="C13">
        <v>0.25</v>
      </c>
      <c r="D13">
        <v>2024</v>
      </c>
      <c r="E13">
        <v>9999</v>
      </c>
    </row>
    <row r="14" spans="1:5" x14ac:dyDescent="0.25">
      <c r="A14" t="s">
        <v>7</v>
      </c>
      <c r="B14">
        <f t="shared" si="0"/>
        <v>0.75</v>
      </c>
      <c r="C14">
        <v>0.25</v>
      </c>
      <c r="D14">
        <v>2024</v>
      </c>
      <c r="E14">
        <v>9999</v>
      </c>
    </row>
    <row r="15" spans="1:5" x14ac:dyDescent="0.25">
      <c r="A15" t="s">
        <v>8</v>
      </c>
      <c r="B15">
        <f t="shared" si="0"/>
        <v>0.75</v>
      </c>
      <c r="C15">
        <v>0.25</v>
      </c>
      <c r="D15">
        <v>2024</v>
      </c>
      <c r="E15">
        <v>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93E69-6E82-4F65-BC2F-02C0B25B1B00}">
  <dimension ref="A1:G8"/>
  <sheetViews>
    <sheetView tabSelected="1" zoomScale="130" zoomScaleNormal="130" workbookViewId="0">
      <selection activeCell="D8" sqref="D8"/>
    </sheetView>
  </sheetViews>
  <sheetFormatPr defaultRowHeight="15" x14ac:dyDescent="0.25"/>
  <cols>
    <col min="1" max="1" width="19.28515625" bestFit="1" customWidth="1"/>
    <col min="2" max="2" width="12.7109375" bestFit="1" customWidth="1"/>
    <col min="3" max="3" width="20.140625" bestFit="1" customWidth="1"/>
    <col min="4" max="4" width="18.28515625" bestFit="1" customWidth="1"/>
    <col min="5" max="5" width="13.85546875" bestFit="1" customWidth="1"/>
    <col min="6" max="6" width="10.42578125" bestFit="1" customWidth="1"/>
    <col min="7" max="7" width="13.7109375" bestFit="1" customWidth="1"/>
    <col min="8" max="8" width="12" bestFit="1" customWidth="1"/>
  </cols>
  <sheetData>
    <row r="1" spans="1:7" x14ac:dyDescent="0.25">
      <c r="A1" t="s">
        <v>11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25">
      <c r="A2" t="s">
        <v>3</v>
      </c>
      <c r="B2">
        <v>8967096000</v>
      </c>
      <c r="C2" s="1">
        <f>B2*(11944986866/(11944986866+28343757+768106850+22494571))</f>
        <v>8391759183.3710594</v>
      </c>
      <c r="D2">
        <v>393308</v>
      </c>
      <c r="E2">
        <v>8.9599999999999999E-2</v>
      </c>
      <c r="F2" s="2">
        <f>E2/0.09096784</f>
        <v>0.98496347720249267</v>
      </c>
      <c r="G2">
        <v>6591924964</v>
      </c>
    </row>
    <row r="3" spans="1:7" x14ac:dyDescent="0.25">
      <c r="A3" t="s">
        <v>2</v>
      </c>
      <c r="B3">
        <v>2423470000</v>
      </c>
      <c r="C3" s="1">
        <f t="shared" ref="C3:C8" si="0">B3*(11944986866/(11944986866+28343757+768106850+22494571))</f>
        <v>2267978019.6536608</v>
      </c>
      <c r="D3">
        <v>41696</v>
      </c>
      <c r="E3">
        <v>0.20130000000000001</v>
      </c>
      <c r="F3" s="2">
        <f>E3/0.2044051</f>
        <v>0.98480908744449136</v>
      </c>
      <c r="G3">
        <v>3237763994</v>
      </c>
    </row>
    <row r="4" spans="1:7" x14ac:dyDescent="0.25">
      <c r="A4" t="s">
        <v>4</v>
      </c>
      <c r="B4">
        <v>8090000</v>
      </c>
      <c r="C4" s="1">
        <f t="shared" si="0"/>
        <v>7570938.4390968792</v>
      </c>
      <c r="D4">
        <v>160</v>
      </c>
      <c r="E4">
        <v>0.1457</v>
      </c>
      <c r="F4" s="2">
        <f>E4/0.10436284</f>
        <v>1.39609079246981</v>
      </c>
      <c r="G4">
        <v>-2095291</v>
      </c>
    </row>
    <row r="5" spans="1:7" x14ac:dyDescent="0.25">
      <c r="A5" t="s">
        <v>7</v>
      </c>
      <c r="B5">
        <v>105844000</v>
      </c>
      <c r="C5" s="1">
        <f t="shared" si="0"/>
        <v>99052955.271665037</v>
      </c>
      <c r="D5">
        <v>989</v>
      </c>
      <c r="E5">
        <v>0.1777</v>
      </c>
      <c r="F5" s="2">
        <f>E5/0.1937982</f>
        <v>0.91693318100993715</v>
      </c>
      <c r="G5">
        <f>1545348000 - 1444240024</f>
        <v>101107976</v>
      </c>
    </row>
    <row r="6" spans="1:7" x14ac:dyDescent="0.25">
      <c r="A6" t="s">
        <v>5</v>
      </c>
      <c r="B6">
        <v>53526000</v>
      </c>
      <c r="C6" s="1">
        <f t="shared" si="0"/>
        <v>50091724.461198956</v>
      </c>
      <c r="D6">
        <v>1446</v>
      </c>
      <c r="E6">
        <v>0.14630000000000001</v>
      </c>
      <c r="F6" s="2">
        <f>E6/0.1557111</f>
        <v>0.93956050660486001</v>
      </c>
      <c r="G6">
        <v>30965398</v>
      </c>
    </row>
    <row r="7" spans="1:7" x14ac:dyDescent="0.25">
      <c r="A7" t="s">
        <v>6</v>
      </c>
      <c r="B7">
        <v>9442000</v>
      </c>
      <c r="C7" s="1">
        <f t="shared" si="0"/>
        <v>8836192.9223674573</v>
      </c>
      <c r="D7">
        <v>227</v>
      </c>
      <c r="E7">
        <v>0.12540000000000001</v>
      </c>
      <c r="F7" s="2">
        <f>E7/0.1513904</f>
        <v>0.82832200720785465</v>
      </c>
      <c r="G7">
        <f>138008000 - 110403603</f>
        <v>27604397</v>
      </c>
    </row>
    <row r="8" spans="1:7" x14ac:dyDescent="0.25">
      <c r="A8" t="s">
        <v>8</v>
      </c>
      <c r="B8">
        <v>338664000</v>
      </c>
      <c r="C8" s="1">
        <f t="shared" si="0"/>
        <v>316935017.98990178</v>
      </c>
      <c r="D8">
        <v>5828</v>
      </c>
      <c r="E8">
        <v>0.1086</v>
      </c>
      <c r="F8" s="2">
        <f>E8/ 0.11295223</f>
        <v>0.96146840128787192</v>
      </c>
      <c r="G8">
        <v>635471640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8BBEA-E4B1-4E35-9F36-02E94AEC9373}">
  <dimension ref="B1:C77"/>
  <sheetViews>
    <sheetView workbookViewId="0">
      <selection activeCell="F20" sqref="F20"/>
    </sheetView>
  </sheetViews>
  <sheetFormatPr defaultRowHeight="15" x14ac:dyDescent="0.25"/>
  <cols>
    <col min="2" max="2" width="14.28515625" bestFit="1" customWidth="1"/>
    <col min="3" max="3" width="15.85546875" bestFit="1" customWidth="1"/>
  </cols>
  <sheetData>
    <row r="1" spans="2:3" x14ac:dyDescent="0.25">
      <c r="B1" t="s">
        <v>22</v>
      </c>
      <c r="C1" t="s">
        <v>23</v>
      </c>
    </row>
    <row r="2" spans="2:3" x14ac:dyDescent="0.25">
      <c r="B2">
        <f ca="1">#REF!/SUM($B$2:$B$77)</f>
        <v>1.0765145811826322E-3</v>
      </c>
      <c r="C2">
        <f ca="1">#REF!/SUM($C$2:$C$77)</f>
        <v>6.6660433036662609E-4</v>
      </c>
    </row>
    <row r="3" spans="2:3" x14ac:dyDescent="0.25">
      <c r="B3">
        <f t="shared" ref="B3" ca="1" si="0">#REF!/SUM($B$2:$B$77)</f>
        <v>1.0765145811826322E-3</v>
      </c>
      <c r="C3">
        <f t="shared" ref="C3" ca="1" si="1">#REF!/SUM($C$2:$C$77)</f>
        <v>6.6660433036662609E-4</v>
      </c>
    </row>
    <row r="4" spans="2:3" x14ac:dyDescent="0.25">
      <c r="B4">
        <f ca="1">#REF!/SUM($B$2:$B$77)</f>
        <v>1.0765145811826322E-3</v>
      </c>
      <c r="C4">
        <f t="shared" ref="C4" ca="1" si="2">#REF!/SUM($C$2:$C$77)</f>
        <v>6.6660433036662609E-4</v>
      </c>
    </row>
    <row r="5" spans="2:3" x14ac:dyDescent="0.25">
      <c r="B5">
        <f t="shared" ref="B5" ca="1" si="3">#REF!/SUM($B$2:$B$77)</f>
        <v>1.0765145811826322E-3</v>
      </c>
      <c r="C5">
        <f t="shared" ref="C5" ca="1" si="4">#REF!/SUM($C$2:$C$77)</f>
        <v>6.6660433036662609E-4</v>
      </c>
    </row>
    <row r="6" spans="2:3" x14ac:dyDescent="0.25">
      <c r="B6">
        <f t="shared" ref="B6" ca="1" si="5">#REF!/SUM($B$2:$B$77)</f>
        <v>1.0765145811826322E-3</v>
      </c>
      <c r="C6">
        <f t="shared" ref="C6" ca="1" si="6">#REF!/SUM($C$2:$C$77)</f>
        <v>6.6660433036662609E-4</v>
      </c>
    </row>
    <row r="7" spans="2:3" x14ac:dyDescent="0.25">
      <c r="B7">
        <f t="shared" ref="B7" ca="1" si="7">#REF!/SUM($B$2:$B$77)</f>
        <v>2.1223746433031124E-3</v>
      </c>
      <c r="C7">
        <f t="shared" ref="C7" ca="1" si="8">#REF!/SUM($C$2:$C$77)</f>
        <v>2.6826462547526915E-3</v>
      </c>
    </row>
    <row r="8" spans="2:3" x14ac:dyDescent="0.25">
      <c r="B8">
        <f t="shared" ref="B8" ca="1" si="9">#REF!/SUM($B$2:$B$77)</f>
        <v>2.1223746433031124E-3</v>
      </c>
      <c r="C8">
        <f t="shared" ref="C8" ca="1" si="10">#REF!/SUM($C$2:$C$77)</f>
        <v>2.6826462547526915E-3</v>
      </c>
    </row>
    <row r="9" spans="2:3" x14ac:dyDescent="0.25">
      <c r="B9">
        <f t="shared" ref="B9" ca="1" si="11">#REF!/SUM($B$2:$B$77)</f>
        <v>2.1223746433031124E-3</v>
      </c>
      <c r="C9">
        <f t="shared" ref="C9" ca="1" si="12">#REF!/SUM($C$2:$C$77)</f>
        <v>2.6826462547526915E-3</v>
      </c>
    </row>
    <row r="10" spans="2:3" x14ac:dyDescent="0.25">
      <c r="B10">
        <f t="shared" ref="B10" ca="1" si="13">#REF!/SUM($B$2:$B$77)</f>
        <v>2.1223746433031124E-3</v>
      </c>
      <c r="C10">
        <f t="shared" ref="C10" ca="1" si="14">#REF!/SUM($C$2:$C$77)</f>
        <v>2.6826462547526915E-3</v>
      </c>
    </row>
    <row r="11" spans="2:3" x14ac:dyDescent="0.25">
      <c r="B11">
        <f ca="1">#REF!/SUM($B$2:$B$77)</f>
        <v>2.1223746433031124E-3</v>
      </c>
      <c r="C11">
        <f t="shared" ref="C11" ca="1" si="15">#REF!/SUM($C$2:$C$77)</f>
        <v>2.6826462547526915E-3</v>
      </c>
    </row>
    <row r="12" spans="2:3" x14ac:dyDescent="0.25">
      <c r="B12">
        <f t="shared" ref="B12" ca="1" si="16">#REF!/SUM($B$2:$B$77)</f>
        <v>7.6834650425782174E-3</v>
      </c>
      <c r="C12">
        <f t="shared" ref="C12" ca="1" si="17">#REF!/SUM($C$2:$C$77)</f>
        <v>9.9306204145650414E-3</v>
      </c>
    </row>
    <row r="13" spans="2:3" x14ac:dyDescent="0.25">
      <c r="B13">
        <f t="shared" ref="B13" ca="1" si="18">#REF!/SUM($B$2:$B$77)</f>
        <v>7.6834650425782174E-3</v>
      </c>
      <c r="C13">
        <f t="shared" ref="C13" ca="1" si="19">#REF!/SUM($C$2:$C$77)</f>
        <v>9.9306204145650414E-3</v>
      </c>
    </row>
    <row r="14" spans="2:3" x14ac:dyDescent="0.25">
      <c r="B14">
        <f t="shared" ref="B14" ca="1" si="20">#REF!/SUM($B$2:$B$77)</f>
        <v>7.6834650425782174E-3</v>
      </c>
      <c r="C14">
        <f t="shared" ref="C14" ca="1" si="21">#REF!/SUM($C$2:$C$77)</f>
        <v>9.9306204145650414E-3</v>
      </c>
    </row>
    <row r="15" spans="2:3" x14ac:dyDescent="0.25">
      <c r="B15">
        <f t="shared" ref="B15" ca="1" si="22">#REF!/SUM($B$2:$B$77)</f>
        <v>7.6834650425782174E-3</v>
      </c>
      <c r="C15">
        <f t="shared" ref="C15" ca="1" si="23">#REF!/SUM($C$2:$C$77)</f>
        <v>9.9306204145650414E-3</v>
      </c>
    </row>
    <row r="16" spans="2:3" x14ac:dyDescent="0.25">
      <c r="B16">
        <f t="shared" ref="B16" ca="1" si="24">#REF!/SUM($B$2:$B$77)</f>
        <v>7.6834650425782174E-3</v>
      </c>
      <c r="C16">
        <f t="shared" ref="C16" ca="1" si="25">#REF!/SUM($C$2:$C$77)</f>
        <v>9.9306204145650414E-3</v>
      </c>
    </row>
    <row r="17" spans="2:3" x14ac:dyDescent="0.25">
      <c r="B17">
        <f t="shared" ref="B17" ca="1" si="26">#REF!/SUM($B$2:$B$77)</f>
        <v>2.1935111595973417E-2</v>
      </c>
      <c r="C17">
        <f t="shared" ref="C17" ca="1" si="27">#REF!/SUM($C$2:$C$77)</f>
        <v>2.2839536690823743E-2</v>
      </c>
    </row>
    <row r="18" spans="2:3" x14ac:dyDescent="0.25">
      <c r="B18">
        <f t="shared" ref="B18" ca="1" si="28">#REF!/SUM($B$2:$B$77)</f>
        <v>2.1935111595973417E-2</v>
      </c>
      <c r="C18">
        <f t="shared" ref="C18" ca="1" si="29">#REF!/SUM($C$2:$C$77)</f>
        <v>2.2839536690823743E-2</v>
      </c>
    </row>
    <row r="19" spans="2:3" x14ac:dyDescent="0.25">
      <c r="B19">
        <f t="shared" ref="B19" ca="1" si="30">#REF!/SUM($B$2:$B$77)</f>
        <v>2.1935111595973417E-2</v>
      </c>
      <c r="C19">
        <f t="shared" ref="C19" ca="1" si="31">#REF!/SUM($C$2:$C$77)</f>
        <v>2.2839536690823743E-2</v>
      </c>
    </row>
    <row r="20" spans="2:3" x14ac:dyDescent="0.25">
      <c r="B20">
        <f t="shared" ref="B20" ca="1" si="32">#REF!/SUM($B$2:$B$77)</f>
        <v>2.1935111595973417E-2</v>
      </c>
      <c r="C20">
        <f t="shared" ref="C20" ca="1" si="33">#REF!/SUM($C$2:$C$77)</f>
        <v>2.2839536690823743E-2</v>
      </c>
    </row>
    <row r="21" spans="2:3" x14ac:dyDescent="0.25">
      <c r="B21">
        <f t="shared" ref="B21" ca="1" si="34">#REF!/SUM($B$2:$B$77)</f>
        <v>2.1935111595973417E-2</v>
      </c>
      <c r="C21">
        <f t="shared" ref="C21" ca="1" si="35">#REF!/SUM($C$2:$C$77)</f>
        <v>2.2839536690823743E-2</v>
      </c>
    </row>
    <row r="22" spans="2:3" x14ac:dyDescent="0.25">
      <c r="B22">
        <f t="shared" ref="B22" ca="1" si="36">#REF!/SUM($B$2:$B$77)</f>
        <v>4.2204961524070515E-2</v>
      </c>
      <c r="C22">
        <f t="shared" ref="C22" ca="1" si="37">#REF!/SUM($C$2:$C$77)</f>
        <v>3.9938455442621708E-2</v>
      </c>
    </row>
    <row r="23" spans="2:3" x14ac:dyDescent="0.25">
      <c r="B23">
        <f t="shared" ref="B23" ca="1" si="38">#REF!/SUM($B$2:$B$77)</f>
        <v>4.2204961524070515E-2</v>
      </c>
      <c r="C23">
        <f t="shared" ref="C23" ca="1" si="39">#REF!/SUM($C$2:$C$77)</f>
        <v>3.9938455442621708E-2</v>
      </c>
    </row>
    <row r="24" spans="2:3" x14ac:dyDescent="0.25">
      <c r="B24">
        <f t="shared" ref="B24" ca="1" si="40">#REF!/SUM($B$2:$B$77)</f>
        <v>4.2204961524070515E-2</v>
      </c>
      <c r="C24">
        <f t="shared" ref="C24" ca="1" si="41">#REF!/SUM($C$2:$C$77)</f>
        <v>3.9938455442621708E-2</v>
      </c>
    </row>
    <row r="25" spans="2:3" x14ac:dyDescent="0.25">
      <c r="B25">
        <f t="shared" ref="B25" ca="1" si="42">#REF!/SUM($B$2:$B$77)</f>
        <v>4.2204961524070515E-2</v>
      </c>
      <c r="C25">
        <f t="shared" ref="C25" ca="1" si="43">#REF!/SUM($C$2:$C$77)</f>
        <v>3.9938455442621708E-2</v>
      </c>
    </row>
    <row r="26" spans="2:3" x14ac:dyDescent="0.25">
      <c r="B26">
        <f t="shared" ref="B26" ca="1" si="44">#REF!/SUM($B$2:$B$77)</f>
        <v>4.2204961524070515E-2</v>
      </c>
      <c r="C26">
        <f t="shared" ref="C26" ca="1" si="45">#REF!/SUM($C$2:$C$77)</f>
        <v>3.9938455442621708E-2</v>
      </c>
    </row>
    <row r="27" spans="2:3" x14ac:dyDescent="0.25">
      <c r="B27">
        <f t="shared" ref="B27" ca="1" si="46">#REF!/SUM($B$2:$B$77)</f>
        <v>4.7984239970787997E-2</v>
      </c>
      <c r="C27">
        <f t="shared" ref="C27" ca="1" si="47">#REF!/SUM($C$2:$C$77)</f>
        <v>4.7839062003481453E-2</v>
      </c>
    </row>
    <row r="28" spans="2:3" x14ac:dyDescent="0.25">
      <c r="B28">
        <f t="shared" ref="B28" ca="1" si="48">#REF!/SUM($B$2:$B$77)</f>
        <v>4.7984239970787997E-2</v>
      </c>
      <c r="C28">
        <f t="shared" ref="C28" ca="1" si="49">#REF!/SUM($C$2:$C$77)</f>
        <v>4.7839062003481453E-2</v>
      </c>
    </row>
    <row r="29" spans="2:3" x14ac:dyDescent="0.25">
      <c r="B29">
        <f t="shared" ref="B29" ca="1" si="50">#REF!/SUM($B$2:$B$77)</f>
        <v>4.7984239970787997E-2</v>
      </c>
      <c r="C29">
        <f t="shared" ref="C29" ca="1" si="51">#REF!/SUM($C$2:$C$77)</f>
        <v>4.7839062003481453E-2</v>
      </c>
    </row>
    <row r="30" spans="2:3" x14ac:dyDescent="0.25">
      <c r="B30">
        <f t="shared" ref="B30" ca="1" si="52">#REF!/SUM($B$2:$B$77)</f>
        <v>4.7984239970787997E-2</v>
      </c>
      <c r="C30">
        <f t="shared" ref="C30" ca="1" si="53">#REF!/SUM($C$2:$C$77)</f>
        <v>4.7839062003481453E-2</v>
      </c>
    </row>
    <row r="31" spans="2:3" x14ac:dyDescent="0.25">
      <c r="B31">
        <f t="shared" ref="B31" ca="1" si="54">#REF!/SUM($B$2:$B$77)</f>
        <v>4.7984239970787997E-2</v>
      </c>
      <c r="C31">
        <f t="shared" ref="C31" ca="1" si="55">#REF!/SUM($C$2:$C$77)</f>
        <v>4.7839062003481453E-2</v>
      </c>
    </row>
    <row r="32" spans="2:3" x14ac:dyDescent="0.25">
      <c r="B32">
        <f t="shared" ref="B32" ca="1" si="56">#REF!/SUM($B$2:$B$77)</f>
        <v>3.7275444377825928E-2</v>
      </c>
      <c r="C32">
        <f t="shared" ref="C32" ca="1" si="57">#REF!/SUM($C$2:$C$77)</f>
        <v>3.7711347821865734E-2</v>
      </c>
    </row>
    <row r="33" spans="2:3" x14ac:dyDescent="0.25">
      <c r="B33">
        <f t="shared" ref="B33" ca="1" si="58">#REF!/SUM($B$2:$B$77)</f>
        <v>3.7275444377825928E-2</v>
      </c>
      <c r="C33">
        <f t="shared" ref="C33" ca="1" si="59">#REF!/SUM($C$2:$C$77)</f>
        <v>3.7711347821865734E-2</v>
      </c>
    </row>
    <row r="34" spans="2:3" x14ac:dyDescent="0.25">
      <c r="B34">
        <f t="shared" ref="B34" ca="1" si="60">#REF!/SUM($B$2:$B$77)</f>
        <v>3.7275444377825928E-2</v>
      </c>
      <c r="C34">
        <f t="shared" ref="C34" ca="1" si="61">#REF!/SUM($C$2:$C$77)</f>
        <v>3.7711347821865734E-2</v>
      </c>
    </row>
    <row r="35" spans="2:3" x14ac:dyDescent="0.25">
      <c r="B35">
        <f t="shared" ref="B35" ca="1" si="62">#REF!/SUM($B$2:$B$77)</f>
        <v>3.7275444377825928E-2</v>
      </c>
      <c r="C35">
        <f t="shared" ref="C35" ca="1" si="63">#REF!/SUM($C$2:$C$77)</f>
        <v>3.7711347821865734E-2</v>
      </c>
    </row>
    <row r="36" spans="2:3" x14ac:dyDescent="0.25">
      <c r="B36">
        <f t="shared" ref="B36" ca="1" si="64">#REF!/SUM($B$2:$B$77)</f>
        <v>3.7275444377825928E-2</v>
      </c>
      <c r="C36">
        <f t="shared" ref="C36" ca="1" si="65">#REF!/SUM($C$2:$C$77)</f>
        <v>3.7711347821865734E-2</v>
      </c>
    </row>
    <row r="37" spans="2:3" x14ac:dyDescent="0.25">
      <c r="B37">
        <f t="shared" ref="B37" ca="1" si="66">#REF!/SUM($B$2:$B$77)</f>
        <v>1.9858944132138987E-2</v>
      </c>
      <c r="C37">
        <f t="shared" ref="C37" ca="1" si="67">#REF!/SUM($C$2:$C$77)</f>
        <v>1.9195863520761365E-2</v>
      </c>
    </row>
    <row r="38" spans="2:3" x14ac:dyDescent="0.25">
      <c r="B38">
        <f t="shared" ref="B38" ca="1" si="68">#REF!/SUM($B$2:$B$77)</f>
        <v>1.9858944132138987E-2</v>
      </c>
      <c r="C38">
        <f t="shared" ref="C38" ca="1" si="69">#REF!/SUM($C$2:$C$77)</f>
        <v>1.9195863520761365E-2</v>
      </c>
    </row>
    <row r="39" spans="2:3" x14ac:dyDescent="0.25">
      <c r="B39">
        <f t="shared" ref="B39" ca="1" si="70">#REF!/SUM($B$2:$B$77)</f>
        <v>1.9858944132138987E-2</v>
      </c>
      <c r="C39">
        <f t="shared" ref="C39" ca="1" si="71">#REF!/SUM($C$2:$C$77)</f>
        <v>1.9195863520761365E-2</v>
      </c>
    </row>
    <row r="40" spans="2:3" x14ac:dyDescent="0.25">
      <c r="B40">
        <f t="shared" ref="B40" ca="1" si="72">#REF!/SUM($B$2:$B$77)</f>
        <v>1.9858944132138987E-2</v>
      </c>
      <c r="C40">
        <f t="shared" ref="C40" ca="1" si="73">#REF!/SUM($C$2:$C$77)</f>
        <v>1.9195863520761365E-2</v>
      </c>
    </row>
    <row r="41" spans="2:3" x14ac:dyDescent="0.25">
      <c r="B41">
        <f t="shared" ref="B41" ca="1" si="74">#REF!/SUM($B$2:$B$77)</f>
        <v>1.9858944132138987E-2</v>
      </c>
      <c r="C41">
        <f t="shared" ref="C41" ca="1" si="75">#REF!/SUM($C$2:$C$77)</f>
        <v>1.9195863520761365E-2</v>
      </c>
    </row>
    <row r="42" spans="2:3" x14ac:dyDescent="0.25">
      <c r="B42">
        <f t="shared" ref="B42" ca="1" si="76">#REF!/SUM($B$2:$B$77)</f>
        <v>9.9294720660694936E-3</v>
      </c>
      <c r="C42">
        <f t="shared" ref="C42" ca="1" si="77">#REF!/SUM($C$2:$C$77)</f>
        <v>9.5979317603806825E-3</v>
      </c>
    </row>
    <row r="43" spans="2:3" x14ac:dyDescent="0.25">
      <c r="B43">
        <f t="shared" ref="B43" ca="1" si="78">#REF!/SUM($B$2:$B$77)</f>
        <v>9.9294720660694936E-3</v>
      </c>
      <c r="C43">
        <f t="shared" ref="C43" ca="1" si="79">#REF!/SUM($C$2:$C$77)</f>
        <v>9.5979317603806825E-3</v>
      </c>
    </row>
    <row r="44" spans="2:3" x14ac:dyDescent="0.25">
      <c r="B44">
        <f t="shared" ref="B44" ca="1" si="80">#REF!/SUM($B$2:$B$77)</f>
        <v>9.9294720660694936E-3</v>
      </c>
      <c r="C44">
        <f t="shared" ref="C44" ca="1" si="81">#REF!/SUM($C$2:$C$77)</f>
        <v>9.5979317603806825E-3</v>
      </c>
    </row>
    <row r="45" spans="2:3" x14ac:dyDescent="0.25">
      <c r="B45">
        <f t="shared" ref="B45" ca="1" si="82">#REF!/SUM($B$2:$B$77)</f>
        <v>9.9294720660694936E-3</v>
      </c>
      <c r="C45">
        <f t="shared" ref="C45" ca="1" si="83">#REF!/SUM($C$2:$C$77)</f>
        <v>9.5979317603806825E-3</v>
      </c>
    </row>
    <row r="46" spans="2:3" x14ac:dyDescent="0.25">
      <c r="B46">
        <f t="shared" ref="B46" ca="1" si="84">#REF!/SUM($B$2:$B$77)</f>
        <v>9.9294720660694936E-3</v>
      </c>
      <c r="C46">
        <f t="shared" ref="C46" ca="1" si="85">#REF!/SUM($C$2:$C$77)</f>
        <v>9.5979317603806825E-3</v>
      </c>
    </row>
    <row r="47" spans="2:3" x14ac:dyDescent="0.25">
      <c r="B47">
        <f t="shared" ref="B47" ca="1" si="86">#REF!/SUM($B$2:$B$77)</f>
        <v>4.9647360330347468E-3</v>
      </c>
      <c r="C47">
        <f t="shared" ref="C47" ca="1" si="87">#REF!/SUM($C$2:$C$77)</f>
        <v>4.7989658801903413E-3</v>
      </c>
    </row>
    <row r="48" spans="2:3" x14ac:dyDescent="0.25">
      <c r="B48">
        <f t="shared" ref="B48" ca="1" si="88">#REF!/SUM($B$2:$B$77)</f>
        <v>4.9647360330347468E-3</v>
      </c>
      <c r="C48">
        <f t="shared" ref="C48" ca="1" si="89">#REF!/SUM($C$2:$C$77)</f>
        <v>4.7989658801903413E-3</v>
      </c>
    </row>
    <row r="49" spans="2:3" x14ac:dyDescent="0.25">
      <c r="B49">
        <f t="shared" ref="B49" ca="1" si="90">#REF!/SUM($B$2:$B$77)</f>
        <v>4.9647360330347468E-3</v>
      </c>
      <c r="C49">
        <f t="shared" ref="C49" ca="1" si="91">#REF!/SUM($C$2:$C$77)</f>
        <v>4.7989658801903413E-3</v>
      </c>
    </row>
    <row r="50" spans="2:3" x14ac:dyDescent="0.25">
      <c r="B50">
        <f t="shared" ref="B50" ca="1" si="92">#REF!/SUM($B$2:$B$77)</f>
        <v>4.9647360330347468E-3</v>
      </c>
      <c r="C50">
        <f t="shared" ref="C50" ca="1" si="93">#REF!/SUM($C$2:$C$77)</f>
        <v>4.7989658801903413E-3</v>
      </c>
    </row>
    <row r="51" spans="2:3" x14ac:dyDescent="0.25">
      <c r="B51">
        <f t="shared" ref="B51" ca="1" si="94">#REF!/SUM($B$2:$B$77)</f>
        <v>4.9647360330347468E-3</v>
      </c>
      <c r="C51">
        <f t="shared" ref="C51" ca="1" si="95">#REF!/SUM($C$2:$C$77)</f>
        <v>4.7989658801903413E-3</v>
      </c>
    </row>
    <row r="52" spans="2:3" x14ac:dyDescent="0.25">
      <c r="B52">
        <f t="shared" ref="B52" ca="1" si="96">#REF!/SUM($B$2:$B$77)</f>
        <v>9.9294720660694931E-4</v>
      </c>
      <c r="C52">
        <f t="shared" ref="C52" ca="1" si="97">#REF!/SUM($C$2:$C$77)</f>
        <v>9.5979317603806825E-4</v>
      </c>
    </row>
    <row r="53" spans="2:3" x14ac:dyDescent="0.25">
      <c r="B53">
        <f t="shared" ref="B53" ca="1" si="98">#REF!/SUM($B$2:$B$77)</f>
        <v>9.9294720660694931E-4</v>
      </c>
      <c r="C53">
        <f t="shared" ref="C53" ca="1" si="99">#REF!/SUM($C$2:$C$77)</f>
        <v>9.5979317603806825E-4</v>
      </c>
    </row>
    <row r="54" spans="2:3" x14ac:dyDescent="0.25">
      <c r="B54">
        <f t="shared" ref="B54" ca="1" si="100">#REF!/SUM($B$2:$B$77)</f>
        <v>9.9294720660694931E-4</v>
      </c>
      <c r="C54">
        <f t="shared" ref="C54" ca="1" si="101">#REF!/SUM($C$2:$C$77)</f>
        <v>9.5979317603806825E-4</v>
      </c>
    </row>
    <row r="55" spans="2:3" x14ac:dyDescent="0.25">
      <c r="B55">
        <f t="shared" ref="B55" ca="1" si="102">#REF!/SUM($B$2:$B$77)</f>
        <v>9.9294720660694931E-4</v>
      </c>
      <c r="C55">
        <f t="shared" ref="C55" ca="1" si="103">#REF!/SUM($C$2:$C$77)</f>
        <v>9.5979317603806825E-4</v>
      </c>
    </row>
    <row r="56" spans="2:3" x14ac:dyDescent="0.25">
      <c r="B56">
        <f t="shared" ref="B56" ca="1" si="104">#REF!/SUM($B$2:$B$77)</f>
        <v>9.9294720660694931E-4</v>
      </c>
      <c r="C56">
        <f t="shared" ref="C56" ca="1" si="105">#REF!/SUM($C$2:$C$77)</f>
        <v>9.5979317603806825E-4</v>
      </c>
    </row>
    <row r="57" spans="2:3" x14ac:dyDescent="0.25">
      <c r="B57">
        <f t="shared" ref="B57" ca="1" si="106">#REF!/SUM($B$2:$B$77)</f>
        <v>9.4566400629233593E-4</v>
      </c>
      <c r="C57">
        <f t="shared" ref="C57" ca="1" si="107">#REF!/SUM($C$2:$C$77)</f>
        <v>9.1408873908387458E-4</v>
      </c>
    </row>
    <row r="58" spans="2:3" x14ac:dyDescent="0.25">
      <c r="B58">
        <f t="shared" ref="B58" ca="1" si="108">#REF!/SUM($B$2:$B$77)</f>
        <v>9.4566400629233593E-4</v>
      </c>
      <c r="C58">
        <f t="shared" ref="C58" ca="1" si="109">#REF!/SUM($C$2:$C$77)</f>
        <v>9.1408873908387458E-4</v>
      </c>
    </row>
    <row r="59" spans="2:3" x14ac:dyDescent="0.25">
      <c r="B59">
        <f t="shared" ref="B59" ca="1" si="110">#REF!/SUM($B$2:$B$77)</f>
        <v>9.4566400629233593E-4</v>
      </c>
      <c r="C59">
        <f t="shared" ref="C59" ca="1" si="111">#REF!/SUM($C$2:$C$77)</f>
        <v>9.1408873908387458E-4</v>
      </c>
    </row>
    <row r="60" spans="2:3" x14ac:dyDescent="0.25">
      <c r="B60">
        <f t="shared" ref="B60" ca="1" si="112">#REF!/SUM($B$2:$B$77)</f>
        <v>9.4566400629233593E-4</v>
      </c>
      <c r="C60">
        <f t="shared" ref="C60" ca="1" si="113">#REF!/SUM($C$2:$C$77)</f>
        <v>9.1408873908387458E-4</v>
      </c>
    </row>
    <row r="61" spans="2:3" x14ac:dyDescent="0.25">
      <c r="B61">
        <f t="shared" ref="B61" ca="1" si="114">#REF!/SUM($B$2:$B$77)</f>
        <v>9.4566400629233593E-4</v>
      </c>
      <c r="C61">
        <f t="shared" ref="C61" ca="1" si="115">#REF!/SUM($C$2:$C$77)</f>
        <v>9.1408873908387458E-4</v>
      </c>
    </row>
    <row r="62" spans="2:3" x14ac:dyDescent="0.25">
      <c r="B62">
        <f t="shared" ref="B62" ca="1" si="116">#REF!/SUM($B$2:$B$77)</f>
        <v>9.4566400629233593E-4</v>
      </c>
      <c r="C62">
        <f t="shared" ref="C62" ca="1" si="117">#REF!/SUM($C$2:$C$77)</f>
        <v>9.1408873908387458E-4</v>
      </c>
    </row>
    <row r="63" spans="2:3" x14ac:dyDescent="0.25">
      <c r="B63">
        <f t="shared" ref="B63" ca="1" si="118">#REF!/SUM($B$2:$B$77)</f>
        <v>9.4566400629233593E-4</v>
      </c>
      <c r="C63">
        <f t="shared" ref="C63" ca="1" si="119">#REF!/SUM($C$2:$C$77)</f>
        <v>9.1408873908387458E-4</v>
      </c>
    </row>
    <row r="64" spans="2:3" x14ac:dyDescent="0.25">
      <c r="B64">
        <f t="shared" ref="B64" ca="1" si="120">#REF!/SUM($B$2:$B$77)</f>
        <v>9.4566400629233593E-4</v>
      </c>
      <c r="C64">
        <f t="shared" ref="C64" ca="1" si="121">#REF!/SUM($C$2:$C$77)</f>
        <v>9.1408873908387458E-4</v>
      </c>
    </row>
    <row r="65" spans="2:3" x14ac:dyDescent="0.25">
      <c r="B65">
        <f t="shared" ref="B65" ca="1" si="122">#REF!/SUM($B$2:$B$77)</f>
        <v>9.4566400629233593E-4</v>
      </c>
      <c r="C65">
        <f t="shared" ref="C65" ca="1" si="123">#REF!/SUM($C$2:$C$77)</f>
        <v>9.1408873908387458E-4</v>
      </c>
    </row>
    <row r="66" spans="2:3" x14ac:dyDescent="0.25">
      <c r="B66">
        <f t="shared" ref="B66" ca="1" si="124">#REF!/SUM($B$2:$B$77)</f>
        <v>9.4566400629233593E-4</v>
      </c>
      <c r="C66">
        <f t="shared" ref="C66" ca="1" si="125">#REF!/SUM($C$2:$C$77)</f>
        <v>9.1408873908387458E-4</v>
      </c>
    </row>
    <row r="67" spans="2:3" x14ac:dyDescent="0.25">
      <c r="B67">
        <f t="shared" ref="B67" ca="1" si="126">#REF!/SUM($B$2:$B$77)</f>
        <v>9.4566400629233593E-4</v>
      </c>
      <c r="C67">
        <f t="shared" ref="C67" ca="1" si="127">#REF!/SUM($C$2:$C$77)</f>
        <v>9.1408873908387458E-4</v>
      </c>
    </row>
    <row r="68" spans="2:3" x14ac:dyDescent="0.25">
      <c r="B68">
        <f t="shared" ref="B68" ca="1" si="128">#REF!/SUM($B$2:$B$77)</f>
        <v>9.4566400629233593E-4</v>
      </c>
      <c r="C68">
        <f t="shared" ref="C68" ca="1" si="129">#REF!/SUM($C$2:$C$77)</f>
        <v>9.1408873908387458E-4</v>
      </c>
    </row>
    <row r="69" spans="2:3" x14ac:dyDescent="0.25">
      <c r="B69">
        <f t="shared" ref="B69" ca="1" si="130">#REF!/SUM($B$2:$B$77)</f>
        <v>9.4566400629233593E-4</v>
      </c>
      <c r="C69">
        <f t="shared" ref="C69" ca="1" si="131">#REF!/SUM($C$2:$C$77)</f>
        <v>9.1408873908387458E-4</v>
      </c>
    </row>
    <row r="70" spans="2:3" x14ac:dyDescent="0.25">
      <c r="B70">
        <f t="shared" ref="B70" ca="1" si="132">#REF!/SUM($B$2:$B$77)</f>
        <v>9.4566400629233593E-4</v>
      </c>
      <c r="C70">
        <f t="shared" ref="C70" ca="1" si="133">#REF!/SUM($C$2:$C$77)</f>
        <v>9.1408873908387458E-4</v>
      </c>
    </row>
    <row r="71" spans="2:3" x14ac:dyDescent="0.25">
      <c r="B71">
        <f t="shared" ref="B71" ca="1" si="134">#REF!/SUM($B$2:$B$77)</f>
        <v>9.4566400629233593E-4</v>
      </c>
      <c r="C71">
        <f t="shared" ref="C71" ca="1" si="135">#REF!/SUM($C$2:$C$77)</f>
        <v>9.1408873908387458E-4</v>
      </c>
    </row>
    <row r="72" spans="2:3" x14ac:dyDescent="0.25">
      <c r="B72">
        <f t="shared" ref="B72" ca="1" si="136">#REF!/SUM($B$2:$B$77)</f>
        <v>9.4566400629233593E-4</v>
      </c>
      <c r="C72">
        <f t="shared" ref="C72" ca="1" si="137">#REF!/SUM($C$2:$C$77)</f>
        <v>9.1408873908387458E-4</v>
      </c>
    </row>
    <row r="73" spans="2:3" x14ac:dyDescent="0.25">
      <c r="B73">
        <f t="shared" ref="B73" ca="1" si="138">#REF!/SUM($B$2:$B$77)</f>
        <v>9.4566400629233593E-4</v>
      </c>
      <c r="C73">
        <f t="shared" ref="C73" ca="1" si="139">#REF!/SUM($C$2:$C$77)</f>
        <v>9.1408873908387458E-4</v>
      </c>
    </row>
    <row r="74" spans="2:3" x14ac:dyDescent="0.25">
      <c r="B74">
        <f t="shared" ref="B74" ca="1" si="140">#REF!/SUM($B$2:$B$77)</f>
        <v>9.4566400629233593E-4</v>
      </c>
      <c r="C74">
        <f t="shared" ref="C74" ca="1" si="141">#REF!/SUM($C$2:$C$77)</f>
        <v>9.1408873908387458E-4</v>
      </c>
    </row>
    <row r="75" spans="2:3" x14ac:dyDescent="0.25">
      <c r="B75">
        <f t="shared" ref="B75" ca="1" si="142">#REF!/SUM($B$2:$B$77)</f>
        <v>9.4566400629233593E-4</v>
      </c>
      <c r="C75">
        <f t="shared" ref="C75" ca="1" si="143">#REF!/SUM($C$2:$C$77)</f>
        <v>9.1408873908387458E-4</v>
      </c>
    </row>
    <row r="76" spans="2:3" x14ac:dyDescent="0.25">
      <c r="B76">
        <f t="shared" ref="B76" ca="1" si="144">#REF!/SUM($B$2:$B$77)</f>
        <v>9.4566400629233593E-4</v>
      </c>
      <c r="C76">
        <f t="shared" ref="C76" ca="1" si="145">#REF!/SUM($C$2:$C$77)</f>
        <v>9.1408873908387458E-4</v>
      </c>
    </row>
    <row r="77" spans="2:3" x14ac:dyDescent="0.25">
      <c r="B77">
        <f t="shared" ref="B77" ca="1" si="146">#REF!/SUM($B$2:$B$77)</f>
        <v>9.4566400629233593E-4</v>
      </c>
      <c r="C77">
        <f t="shared" ref="C77" ca="1" si="147">#REF!/SUM($C$2:$C$77)</f>
        <v>9.1408873908387458E-4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db_dc_legacy</vt:lpstr>
      <vt:lpstr>db_dc_new</vt:lpstr>
      <vt:lpstr>current_year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Gang</dc:creator>
  <cp:lastModifiedBy>Chen, Gang</cp:lastModifiedBy>
  <dcterms:created xsi:type="dcterms:W3CDTF">2025-05-19T16:07:11Z</dcterms:created>
  <dcterms:modified xsi:type="dcterms:W3CDTF">2025-06-03T19:35:08Z</dcterms:modified>
</cp:coreProperties>
</file>